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7B9B9E59-A63B-409F-8CB0-A6B191CA0EA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Vendor_Master" sheetId="1" r:id="rId1"/>
    <sheet name="Customer_Master" sheetId="2" r:id="rId2"/>
    <sheet name="Material_Master" sheetId="3" r:id="rId3"/>
    <sheet name="Purchase_Order" sheetId="4" r:id="rId4"/>
    <sheet name="Goods_Receipt" sheetId="5" r:id="rId5"/>
    <sheet name="Vendor_Invoice" sheetId="6" r:id="rId6"/>
    <sheet name="Sales_Order" sheetId="7" r:id="rId7"/>
    <sheet name="Billing" sheetId="8" r:id="rId8"/>
    <sheet name="Payments" sheetId="9" r:id="rId9"/>
    <sheet name="Finance_Entries" sheetId="10" r:id="rId10"/>
    <sheet name="Process Flow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8" l="1"/>
  <c r="F9" i="8" s="1"/>
  <c r="E8" i="8"/>
  <c r="F8" i="8" s="1"/>
  <c r="F8" i="6"/>
  <c r="H9" i="7"/>
  <c r="H8" i="7"/>
  <c r="F9" i="6"/>
  <c r="G9" i="6" s="1"/>
  <c r="G8" i="6"/>
  <c r="H9" i="5"/>
  <c r="H8" i="5"/>
  <c r="I9" i="4"/>
  <c r="I8" i="4"/>
  <c r="J10" i="3"/>
  <c r="J9" i="3"/>
</calcChain>
</file>

<file path=xl/sharedStrings.xml><?xml version="1.0" encoding="utf-8"?>
<sst xmlns="http://schemas.openxmlformats.org/spreadsheetml/2006/main" count="126" uniqueCount="91">
  <si>
    <t>Vendor Master Screen</t>
  </si>
  <si>
    <t>Vendor ID</t>
  </si>
  <si>
    <t>Vendor Name</t>
  </si>
  <si>
    <t>City</t>
  </si>
  <si>
    <t>Contact</t>
  </si>
  <si>
    <t>Payment Terms</t>
  </si>
  <si>
    <t>V001</t>
  </si>
  <si>
    <t>XYZ Suppliers</t>
  </si>
  <si>
    <t>Mumbai</t>
  </si>
  <si>
    <t>Net 30</t>
  </si>
  <si>
    <t>V002</t>
  </si>
  <si>
    <t>PQR Traders</t>
  </si>
  <si>
    <t>Hyderabad</t>
  </si>
  <si>
    <t>Net 15</t>
  </si>
  <si>
    <t>Customer Master</t>
  </si>
  <si>
    <t>Customer ID</t>
  </si>
  <si>
    <t>Customer Name</t>
  </si>
  <si>
    <t>Credit Limit</t>
  </si>
  <si>
    <t>C001</t>
  </si>
  <si>
    <t>ABC Retailer</t>
  </si>
  <si>
    <t>Pune</t>
  </si>
  <si>
    <t>C002</t>
  </si>
  <si>
    <t>DEF Retailer</t>
  </si>
  <si>
    <t>Bangalore</t>
  </si>
  <si>
    <t>Material Master</t>
  </si>
  <si>
    <t>Material ID</t>
  </si>
  <si>
    <t>Name</t>
  </si>
  <si>
    <t>Price</t>
  </si>
  <si>
    <t>Initial Stock</t>
  </si>
  <si>
    <t>Purchased</t>
  </si>
  <si>
    <t>Sold</t>
  </si>
  <si>
    <t>Final Stock</t>
  </si>
  <si>
    <t>M001</t>
  </si>
  <si>
    <t>Laptop</t>
  </si>
  <si>
    <t>M002</t>
  </si>
  <si>
    <t>Mobile</t>
  </si>
  <si>
    <t>Purchase Order</t>
  </si>
  <si>
    <t>PO No</t>
  </si>
  <si>
    <t>Vendor</t>
  </si>
  <si>
    <t>Material</t>
  </si>
  <si>
    <t>Qty</t>
  </si>
  <si>
    <t>Total</t>
  </si>
  <si>
    <t>PO001</t>
  </si>
  <si>
    <t>PO002</t>
  </si>
  <si>
    <t>Goods Receipt</t>
  </si>
  <si>
    <t>GR No</t>
  </si>
  <si>
    <t>Qty Received</t>
  </si>
  <si>
    <t>Updated Stock</t>
  </si>
  <si>
    <t>GR001</t>
  </si>
  <si>
    <t>GR002</t>
  </si>
  <si>
    <t>Vendor Invoice</t>
  </si>
  <si>
    <t>Invoice No</t>
  </si>
  <si>
    <t>Amount</t>
  </si>
  <si>
    <t>Tax(10%)</t>
  </si>
  <si>
    <t>INV001</t>
  </si>
  <si>
    <t>INV002</t>
  </si>
  <si>
    <t>Sales Order</t>
  </si>
  <si>
    <t>SO No</t>
  </si>
  <si>
    <t>Customer</t>
  </si>
  <si>
    <t>SO001</t>
  </si>
  <si>
    <t>SO002</t>
  </si>
  <si>
    <t>Billing</t>
  </si>
  <si>
    <t>Bill No</t>
  </si>
  <si>
    <t>GST(18%)</t>
  </si>
  <si>
    <t>B001</t>
  </si>
  <si>
    <t>B002</t>
  </si>
  <si>
    <t>Payments</t>
  </si>
  <si>
    <t>Payment ID</t>
  </si>
  <si>
    <t>Type</t>
  </si>
  <si>
    <t>Party</t>
  </si>
  <si>
    <t>Status</t>
  </si>
  <si>
    <t>P001</t>
  </si>
  <si>
    <t>Paid</t>
  </si>
  <si>
    <t>P002</t>
  </si>
  <si>
    <t>Received</t>
  </si>
  <si>
    <t>Purchase Entry:</t>
  </si>
  <si>
    <t>Account</t>
  </si>
  <si>
    <t>Debit</t>
  </si>
  <si>
    <t>Credit</t>
  </si>
  <si>
    <t>Inventory</t>
  </si>
  <si>
    <t>Sales Entry:</t>
  </si>
  <si>
    <t>Revenue</t>
  </si>
  <si>
    <t>VENDOR</t>
  </si>
  <si>
    <t>PO</t>
  </si>
  <si>
    <t>GOODS RECEIPT</t>
  </si>
  <si>
    <t>INVOICE</t>
  </si>
  <si>
    <t>PAYMENT</t>
  </si>
  <si>
    <t>CUSTOMER</t>
  </si>
  <si>
    <t>SALES ORDER</t>
  </si>
  <si>
    <t>DELIVERY</t>
  </si>
  <si>
    <t>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</si>
</sst>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19">
    <dxf>
      <alignment horizontal="center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font>
        <b/>
      </font>
      <fill>
        <patternFill patternType="solid">
          <fgColor indexed="64"/>
          <bgColor theme="6"/>
        </patternFill>
      </fill>
    </dxf>
    <dxf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6</xdr:row>
      <xdr:rowOff>38100</xdr:rowOff>
    </xdr:from>
    <xdr:to>
      <xdr:col>3</xdr:col>
      <xdr:colOff>476250</xdr:colOff>
      <xdr:row>6</xdr:row>
      <xdr:rowOff>133350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B3C1AF8A-8E0C-FA4B-6053-22F9D26CDC9A}"/>
            </a:ext>
          </a:extLst>
        </xdr:cNvPr>
        <xdr:cNvSpPr/>
      </xdr:nvSpPr>
      <xdr:spPr>
        <a:xfrm>
          <a:off x="1905000" y="1181100"/>
          <a:ext cx="400050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114300</xdr:colOff>
      <xdr:row>6</xdr:row>
      <xdr:rowOff>28575</xdr:rowOff>
    </xdr:from>
    <xdr:to>
      <xdr:col>5</xdr:col>
      <xdr:colOff>514350</xdr:colOff>
      <xdr:row>6</xdr:row>
      <xdr:rowOff>123825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3E32BEA1-08A0-E8EE-CA08-7C6CA199450F}"/>
            </a:ext>
            <a:ext uri="{147F2762-F138-4A5C-976F-8EAC2B608ADB}">
              <a16:predDERef xmlns:a16="http://schemas.microsoft.com/office/drawing/2014/main" pred="{B3C1AF8A-8E0C-FA4B-6053-22F9D26CDC9A}"/>
            </a:ext>
          </a:extLst>
        </xdr:cNvPr>
        <xdr:cNvSpPr/>
      </xdr:nvSpPr>
      <xdr:spPr>
        <a:xfrm>
          <a:off x="3533775" y="1171575"/>
          <a:ext cx="400050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76200</xdr:colOff>
      <xdr:row>6</xdr:row>
      <xdr:rowOff>38100</xdr:rowOff>
    </xdr:from>
    <xdr:to>
      <xdr:col>7</xdr:col>
      <xdr:colOff>476250</xdr:colOff>
      <xdr:row>6</xdr:row>
      <xdr:rowOff>133350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2BF8F8A2-9358-4ACB-A219-DD6A804B94E2}"/>
            </a:ext>
            <a:ext uri="{147F2762-F138-4A5C-976F-8EAC2B608ADB}">
              <a16:predDERef xmlns:a16="http://schemas.microsoft.com/office/drawing/2014/main" pred="{3E32BEA1-08A0-E8EE-CA08-7C6CA199450F}"/>
            </a:ext>
          </a:extLst>
        </xdr:cNvPr>
        <xdr:cNvSpPr/>
      </xdr:nvSpPr>
      <xdr:spPr>
        <a:xfrm>
          <a:off x="5114925" y="1181100"/>
          <a:ext cx="400050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95250</xdr:colOff>
      <xdr:row>6</xdr:row>
      <xdr:rowOff>19050</xdr:rowOff>
    </xdr:from>
    <xdr:to>
      <xdr:col>9</xdr:col>
      <xdr:colOff>495300</xdr:colOff>
      <xdr:row>6</xdr:row>
      <xdr:rowOff>114300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D85DDBEF-1472-4839-9A73-2D23AE5A604D}"/>
            </a:ext>
            <a:ext uri="{147F2762-F138-4A5C-976F-8EAC2B608ADB}">
              <a16:predDERef xmlns:a16="http://schemas.microsoft.com/office/drawing/2014/main" pred="{2BF8F8A2-9358-4ACB-A219-DD6A804B94E2}"/>
            </a:ext>
          </a:extLst>
        </xdr:cNvPr>
        <xdr:cNvSpPr/>
      </xdr:nvSpPr>
      <xdr:spPr>
        <a:xfrm>
          <a:off x="6353175" y="1162050"/>
          <a:ext cx="400050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209550</xdr:colOff>
      <xdr:row>6</xdr:row>
      <xdr:rowOff>152400</xdr:rowOff>
    </xdr:from>
    <xdr:to>
      <xdr:col>8</xdr:col>
      <xdr:colOff>304800</xdr:colOff>
      <xdr:row>8</xdr:row>
      <xdr:rowOff>171450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F328269E-54C6-402B-9EC5-E6242510D9EF}"/>
            </a:ext>
            <a:ext uri="{147F2762-F138-4A5C-976F-8EAC2B608ADB}">
              <a16:predDERef xmlns:a16="http://schemas.microsoft.com/office/drawing/2014/main" pred="{D85DDBEF-1472-4839-9A73-2D23AE5A604D}"/>
            </a:ext>
          </a:extLst>
        </xdr:cNvPr>
        <xdr:cNvSpPr/>
      </xdr:nvSpPr>
      <xdr:spPr>
        <a:xfrm rot="5400000">
          <a:off x="5705475" y="1447800"/>
          <a:ext cx="400050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95250</xdr:colOff>
      <xdr:row>9</xdr:row>
      <xdr:rowOff>47625</xdr:rowOff>
    </xdr:from>
    <xdr:to>
      <xdr:col>9</xdr:col>
      <xdr:colOff>495300</xdr:colOff>
      <xdr:row>9</xdr:row>
      <xdr:rowOff>161925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A825F374-7961-40C2-8479-B874B2F033CB}"/>
            </a:ext>
            <a:ext uri="{147F2762-F138-4A5C-976F-8EAC2B608ADB}">
              <a16:predDERef xmlns:a16="http://schemas.microsoft.com/office/drawing/2014/main" pred="{F328269E-54C6-402B-9EC5-E6242510D9EF}"/>
            </a:ext>
          </a:extLst>
        </xdr:cNvPr>
        <xdr:cNvSpPr/>
      </xdr:nvSpPr>
      <xdr:spPr>
        <a:xfrm rot="10819532">
          <a:off x="6353175" y="1762125"/>
          <a:ext cx="40005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95250</xdr:colOff>
      <xdr:row>9</xdr:row>
      <xdr:rowOff>47625</xdr:rowOff>
    </xdr:from>
    <xdr:to>
      <xdr:col>7</xdr:col>
      <xdr:colOff>495300</xdr:colOff>
      <xdr:row>9</xdr:row>
      <xdr:rowOff>161925</xdr:rowOff>
    </xdr:to>
    <xdr:sp macro="" textlink="">
      <xdr:nvSpPr>
        <xdr:cNvPr id="8" name="Right Arrow 6">
          <a:extLst>
            <a:ext uri="{FF2B5EF4-FFF2-40B4-BE49-F238E27FC236}">
              <a16:creationId xmlns:a16="http://schemas.microsoft.com/office/drawing/2014/main" id="{795403E6-2753-46E2-81B4-A5ED233AB073}"/>
            </a:ext>
            <a:ext uri="{147F2762-F138-4A5C-976F-8EAC2B608ADB}">
              <a16:predDERef xmlns:a16="http://schemas.microsoft.com/office/drawing/2014/main" pred="{A825F374-7961-40C2-8479-B874B2F033CB}"/>
            </a:ext>
          </a:extLst>
        </xdr:cNvPr>
        <xdr:cNvSpPr/>
      </xdr:nvSpPr>
      <xdr:spPr>
        <a:xfrm rot="10819532">
          <a:off x="6353175" y="1762125"/>
          <a:ext cx="40005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95250</xdr:colOff>
      <xdr:row>9</xdr:row>
      <xdr:rowOff>47625</xdr:rowOff>
    </xdr:from>
    <xdr:to>
      <xdr:col>5</xdr:col>
      <xdr:colOff>495300</xdr:colOff>
      <xdr:row>9</xdr:row>
      <xdr:rowOff>161925</xdr:rowOff>
    </xdr:to>
    <xdr:sp macro="" textlink="">
      <xdr:nvSpPr>
        <xdr:cNvPr id="9" name="Right Arrow 6">
          <a:extLst>
            <a:ext uri="{FF2B5EF4-FFF2-40B4-BE49-F238E27FC236}">
              <a16:creationId xmlns:a16="http://schemas.microsoft.com/office/drawing/2014/main" id="{60292B5F-27F0-4041-8356-8812EC0BCA57}"/>
            </a:ext>
            <a:ext uri="{147F2762-F138-4A5C-976F-8EAC2B608ADB}">
              <a16:predDERef xmlns:a16="http://schemas.microsoft.com/office/drawing/2014/main" pred="{795403E6-2753-46E2-81B4-A5ED233AB073}"/>
            </a:ext>
          </a:extLst>
        </xdr:cNvPr>
        <xdr:cNvSpPr/>
      </xdr:nvSpPr>
      <xdr:spPr>
        <a:xfrm rot="10819532">
          <a:off x="6353175" y="1762125"/>
          <a:ext cx="40005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95250</xdr:colOff>
      <xdr:row>9</xdr:row>
      <xdr:rowOff>47625</xdr:rowOff>
    </xdr:from>
    <xdr:to>
      <xdr:col>3</xdr:col>
      <xdr:colOff>495300</xdr:colOff>
      <xdr:row>9</xdr:row>
      <xdr:rowOff>161925</xdr:rowOff>
    </xdr:to>
    <xdr:sp macro="" textlink="">
      <xdr:nvSpPr>
        <xdr:cNvPr id="10" name="Right Arrow 6">
          <a:extLst>
            <a:ext uri="{FF2B5EF4-FFF2-40B4-BE49-F238E27FC236}">
              <a16:creationId xmlns:a16="http://schemas.microsoft.com/office/drawing/2014/main" id="{FA4E50FB-423A-4840-8EAB-3665C374BA9A}"/>
            </a:ext>
            <a:ext uri="{147F2762-F138-4A5C-976F-8EAC2B608ADB}">
              <a16:predDERef xmlns:a16="http://schemas.microsoft.com/office/drawing/2014/main" pred="{60292B5F-27F0-4041-8356-8812EC0BCA57}"/>
            </a:ext>
          </a:extLst>
        </xdr:cNvPr>
        <xdr:cNvSpPr/>
      </xdr:nvSpPr>
      <xdr:spPr>
        <a:xfrm rot="10819532">
          <a:off x="6353175" y="1762125"/>
          <a:ext cx="40005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744BA-8EE7-41FB-9505-0337635A38C0}" name="Table1" displayName="Table1" ref="C6:G8" totalsRowShown="0" headerRowDxfId="18" dataDxfId="17" headerRowBorderDxfId="15" tableBorderDxfId="16" totalsRowBorderDxfId="14">
  <autoFilter ref="C6:G8" xr:uid="{B5B744BA-8EE7-41FB-9505-0337635A38C0}"/>
  <tableColumns count="5">
    <tableColumn id="1" xr3:uid="{65E73566-99CB-4F75-8CDF-3679CE798D26}" name="Vendor ID" dataDxfId="13"/>
    <tableColumn id="2" xr3:uid="{4A966629-CBAF-4FBF-8CEC-694FF85415A5}" name="Vendor Name" dataDxfId="12"/>
    <tableColumn id="3" xr3:uid="{B1840C58-0E1D-43D7-9AC4-15CC060CC999}" name="City" dataDxfId="11"/>
    <tableColumn id="4" xr3:uid="{7A753DA6-4762-4947-91A6-43F5CBA56276}" name="Contact" dataDxfId="10"/>
    <tableColumn id="5" xr3:uid="{4B7E7633-3462-4022-BF7F-7591BFE8E182}" name="Payment Terms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E64670-D820-438C-8645-72CFBCE33C85}" name="Table2" displayName="Table2" ref="C8:G10" totalsRowShown="0" headerRowDxfId="8" dataDxfId="7" headerRowBorderDxfId="5" tableBorderDxfId="6">
  <autoFilter ref="C8:G10" xr:uid="{45E64670-D820-438C-8645-72CFBCE33C85}"/>
  <tableColumns count="5">
    <tableColumn id="1" xr3:uid="{281186A7-A332-49F6-8915-FAB2B4047D4F}" name="Customer ID" dataDxfId="4"/>
    <tableColumn id="2" xr3:uid="{2C23653E-D580-426B-A505-1604280A9D81}" name="Customer Name" dataDxfId="3"/>
    <tableColumn id="3" xr3:uid="{4785A77C-1F57-411C-84FD-32319D056E39}" name="City" dataDxfId="2"/>
    <tableColumn id="4" xr3:uid="{2B4376E6-D824-4BCC-9D0A-22FB46866726}" name="Contact" dataDxfId="1"/>
    <tableColumn id="5" xr3:uid="{9CB0AFAE-0C5F-4E8E-A258-FFB1887B17AF}" name="Credit Limi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8"/>
  <sheetViews>
    <sheetView workbookViewId="0">
      <selection activeCell="J8" sqref="J8"/>
    </sheetView>
  </sheetViews>
  <sheetFormatPr defaultRowHeight="15"/>
  <cols>
    <col min="1" max="1" width="9.5703125" bestFit="1" customWidth="1"/>
    <col min="2" max="2" width="13" bestFit="1" customWidth="1"/>
    <col min="3" max="3" width="12.140625" bestFit="1" customWidth="1"/>
    <col min="4" max="4" width="15.42578125" bestFit="1" customWidth="1"/>
    <col min="5" max="5" width="20.42578125" bestFit="1" customWidth="1"/>
    <col min="6" max="6" width="11.7109375" bestFit="1" customWidth="1"/>
    <col min="7" max="7" width="17" bestFit="1" customWidth="1"/>
  </cols>
  <sheetData>
    <row r="4" spans="2:7">
      <c r="E4" s="1" t="s">
        <v>0</v>
      </c>
    </row>
    <row r="6" spans="2:7">
      <c r="B6" s="4"/>
      <c r="C6" s="12" t="s">
        <v>1</v>
      </c>
      <c r="D6" s="13" t="s">
        <v>2</v>
      </c>
      <c r="E6" s="13" t="s">
        <v>3</v>
      </c>
      <c r="F6" s="13" t="s">
        <v>4</v>
      </c>
      <c r="G6" s="14" t="s">
        <v>5</v>
      </c>
    </row>
    <row r="7" spans="2:7">
      <c r="B7" s="4"/>
      <c r="C7" s="15" t="s">
        <v>6</v>
      </c>
      <c r="D7" s="5" t="s">
        <v>7</v>
      </c>
      <c r="E7" s="5" t="s">
        <v>8</v>
      </c>
      <c r="F7" s="5">
        <v>9845678321</v>
      </c>
      <c r="G7" s="16" t="s">
        <v>9</v>
      </c>
    </row>
    <row r="8" spans="2:7">
      <c r="B8" s="4"/>
      <c r="C8" s="17" t="s">
        <v>10</v>
      </c>
      <c r="D8" s="18" t="s">
        <v>11</v>
      </c>
      <c r="E8" s="18" t="s">
        <v>12</v>
      </c>
      <c r="F8" s="18">
        <v>9623789108</v>
      </c>
      <c r="G8" s="19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8147-AF3E-4FDA-9F7B-AB179DEBAE11}">
  <dimension ref="C6:H10"/>
  <sheetViews>
    <sheetView tabSelected="1" workbookViewId="0">
      <selection activeCell="C9" sqref="C9:G10"/>
    </sheetView>
  </sheetViews>
  <sheetFormatPr defaultRowHeight="15"/>
  <cols>
    <col min="1" max="1" width="11.7109375" bestFit="1" customWidth="1"/>
    <col min="2" max="2" width="15" bestFit="1" customWidth="1"/>
    <col min="3" max="3" width="14" bestFit="1" customWidth="1"/>
    <col min="4" max="4" width="17.28515625" bestFit="1" customWidth="1"/>
    <col min="5" max="5" width="11" bestFit="1" customWidth="1"/>
    <col min="6" max="6" width="11.7109375" bestFit="1" customWidth="1"/>
    <col min="7" max="7" width="13.28515625" bestFit="1" customWidth="1"/>
  </cols>
  <sheetData>
    <row r="6" spans="3:8">
      <c r="D6" t="s">
        <v>14</v>
      </c>
    </row>
    <row r="8" spans="3:8">
      <c r="C8" s="20" t="s">
        <v>15</v>
      </c>
      <c r="D8" s="21" t="s">
        <v>16</v>
      </c>
      <c r="E8" s="21" t="s">
        <v>3</v>
      </c>
      <c r="F8" s="22" t="s">
        <v>4</v>
      </c>
      <c r="G8" s="22" t="s">
        <v>17</v>
      </c>
      <c r="H8" s="7"/>
    </row>
    <row r="9" spans="3:8">
      <c r="C9" s="15" t="s">
        <v>18</v>
      </c>
      <c r="D9" s="5" t="s">
        <v>19</v>
      </c>
      <c r="E9" s="5" t="s">
        <v>20</v>
      </c>
      <c r="F9" s="5">
        <v>9612348705</v>
      </c>
      <c r="G9" s="23">
        <v>120000</v>
      </c>
    </row>
    <row r="10" spans="3:8">
      <c r="C10" s="17" t="s">
        <v>21</v>
      </c>
      <c r="D10" s="18" t="s">
        <v>22</v>
      </c>
      <c r="E10" s="18" t="s">
        <v>23</v>
      </c>
      <c r="F10" s="18">
        <v>9823456709</v>
      </c>
      <c r="G10" s="19">
        <v>100000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CB48-B3A2-4D52-8DEE-F1F94B3E3F91}">
  <dimension ref="D6:J10"/>
  <sheetViews>
    <sheetView workbookViewId="0">
      <selection activeCell="O11" sqref="O11"/>
    </sheetView>
  </sheetViews>
  <sheetFormatPr defaultRowHeight="15"/>
  <cols>
    <col min="1" max="1" width="10.5703125" bestFit="1" customWidth="1"/>
    <col min="4" max="4" width="11" bestFit="1" customWidth="1"/>
    <col min="5" max="5" width="9.85546875" bestFit="1" customWidth="1"/>
    <col min="6" max="6" width="15" bestFit="1" customWidth="1"/>
    <col min="7" max="7" width="10.140625" bestFit="1" customWidth="1"/>
  </cols>
  <sheetData>
    <row r="6" spans="4:10">
      <c r="G6" s="2" t="s">
        <v>24</v>
      </c>
    </row>
    <row r="8" spans="4:10">
      <c r="D8" s="6" t="s">
        <v>25</v>
      </c>
      <c r="E8" s="6" t="s">
        <v>26</v>
      </c>
      <c r="F8" s="6" t="s">
        <v>27</v>
      </c>
      <c r="G8" s="6" t="s">
        <v>28</v>
      </c>
      <c r="H8" s="6" t="s">
        <v>29</v>
      </c>
      <c r="I8" s="6" t="s">
        <v>30</v>
      </c>
      <c r="J8" s="6" t="s">
        <v>31</v>
      </c>
    </row>
    <row r="9" spans="4:10">
      <c r="D9" s="5" t="s">
        <v>32</v>
      </c>
      <c r="E9" s="5" t="s">
        <v>33</v>
      </c>
      <c r="F9" s="5">
        <v>50000</v>
      </c>
      <c r="G9" s="5">
        <v>10</v>
      </c>
      <c r="H9" s="5">
        <v>5</v>
      </c>
      <c r="I9" s="5">
        <v>2</v>
      </c>
      <c r="J9" s="5">
        <f>G9+H9-I9</f>
        <v>13</v>
      </c>
    </row>
    <row r="10" spans="4:10">
      <c r="D10" s="5" t="s">
        <v>34</v>
      </c>
      <c r="E10" s="5" t="s">
        <v>35</v>
      </c>
      <c r="F10" s="5">
        <v>22000</v>
      </c>
      <c r="G10" s="5">
        <v>25</v>
      </c>
      <c r="H10" s="5">
        <v>10</v>
      </c>
      <c r="I10" s="5">
        <v>8</v>
      </c>
      <c r="J10" s="5">
        <f>G10+H10-I10</f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05FD-9849-4BA4-BCAB-CE9CF160BBC3}">
  <dimension ref="D5:I9"/>
  <sheetViews>
    <sheetView workbookViewId="0">
      <selection activeCell="O6" sqref="O6"/>
    </sheetView>
  </sheetViews>
  <sheetFormatPr defaultRowHeight="15"/>
  <cols>
    <col min="5" max="5" width="14.42578125" bestFit="1" customWidth="1"/>
  </cols>
  <sheetData>
    <row r="5" spans="4:9">
      <c r="F5" t="s">
        <v>36</v>
      </c>
    </row>
    <row r="7" spans="4:9">
      <c r="D7" s="6" t="s">
        <v>37</v>
      </c>
      <c r="E7" s="6" t="s">
        <v>38</v>
      </c>
      <c r="F7" s="6" t="s">
        <v>39</v>
      </c>
      <c r="G7" s="6" t="s">
        <v>40</v>
      </c>
      <c r="H7" s="6" t="s">
        <v>27</v>
      </c>
      <c r="I7" s="6" t="s">
        <v>41</v>
      </c>
    </row>
    <row r="8" spans="4:9">
      <c r="D8" s="5" t="s">
        <v>42</v>
      </c>
      <c r="E8" s="5" t="s">
        <v>6</v>
      </c>
      <c r="F8" s="5" t="s">
        <v>33</v>
      </c>
      <c r="G8" s="5">
        <v>5</v>
      </c>
      <c r="H8" s="5">
        <v>50000</v>
      </c>
      <c r="I8" s="5">
        <f>G8*H8</f>
        <v>250000</v>
      </c>
    </row>
    <row r="9" spans="4:9">
      <c r="D9" s="5" t="s">
        <v>43</v>
      </c>
      <c r="E9" s="5" t="s">
        <v>10</v>
      </c>
      <c r="F9" s="5" t="s">
        <v>35</v>
      </c>
      <c r="G9" s="5">
        <v>10</v>
      </c>
      <c r="H9" s="5">
        <v>22000</v>
      </c>
      <c r="I9" s="5">
        <f>G9*H9</f>
        <v>220000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D8B8-F492-4B98-96A5-15A0C6EB1D85}">
  <dimension ref="C5:I9"/>
  <sheetViews>
    <sheetView workbookViewId="0">
      <selection activeCell="J6" sqref="J6"/>
    </sheetView>
  </sheetViews>
  <sheetFormatPr defaultRowHeight="15"/>
  <cols>
    <col min="4" max="4" width="12.28515625" bestFit="1" customWidth="1"/>
    <col min="5" max="5" width="13.5703125" bestFit="1" customWidth="1"/>
    <col min="8" max="8" width="13.85546875" bestFit="1" customWidth="1"/>
  </cols>
  <sheetData>
    <row r="5" spans="3:9">
      <c r="F5" t="s">
        <v>44</v>
      </c>
    </row>
    <row r="7" spans="3:9">
      <c r="C7" s="4"/>
      <c r="D7" s="6" t="s">
        <v>45</v>
      </c>
      <c r="E7" s="6" t="s">
        <v>37</v>
      </c>
      <c r="F7" s="6" t="s">
        <v>39</v>
      </c>
      <c r="G7" s="6" t="s">
        <v>46</v>
      </c>
      <c r="H7" s="6" t="s">
        <v>47</v>
      </c>
      <c r="I7" s="3"/>
    </row>
    <row r="8" spans="3:9">
      <c r="C8" s="4"/>
      <c r="D8" s="5" t="s">
        <v>48</v>
      </c>
      <c r="E8" s="5" t="s">
        <v>42</v>
      </c>
      <c r="F8" s="5" t="s">
        <v>33</v>
      </c>
      <c r="G8" s="5">
        <v>5</v>
      </c>
      <c r="H8" s="5">
        <f>10+G8</f>
        <v>15</v>
      </c>
    </row>
    <row r="9" spans="3:9">
      <c r="C9" s="4"/>
      <c r="D9" s="5" t="s">
        <v>49</v>
      </c>
      <c r="E9" s="5" t="s">
        <v>43</v>
      </c>
      <c r="F9" s="5" t="s">
        <v>35</v>
      </c>
      <c r="G9" s="5">
        <v>10</v>
      </c>
      <c r="H9" s="5">
        <f>25+G9</f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6194-324D-44D8-95AF-938F5247E131}">
  <dimension ref="D5:G9"/>
  <sheetViews>
    <sheetView workbookViewId="0">
      <selection activeCell="J13" sqref="J13"/>
    </sheetView>
  </sheetViews>
  <sheetFormatPr defaultRowHeight="15"/>
  <cols>
    <col min="1" max="1" width="10.140625" bestFit="1" customWidth="1"/>
    <col min="5" max="5" width="14" bestFit="1" customWidth="1"/>
  </cols>
  <sheetData>
    <row r="5" spans="4:7">
      <c r="E5" t="s">
        <v>50</v>
      </c>
    </row>
    <row r="7" spans="4:7">
      <c r="D7" s="8" t="s">
        <v>51</v>
      </c>
      <c r="E7" s="8" t="s">
        <v>52</v>
      </c>
      <c r="F7" s="8" t="s">
        <v>53</v>
      </c>
      <c r="G7" s="8" t="s">
        <v>41</v>
      </c>
    </row>
    <row r="8" spans="4:7">
      <c r="D8" s="5" t="s">
        <v>54</v>
      </c>
      <c r="E8" s="5">
        <v>250000</v>
      </c>
      <c r="F8" s="5">
        <f>E8*0.1</f>
        <v>25000</v>
      </c>
      <c r="G8" s="5">
        <f>E8+F8</f>
        <v>275000</v>
      </c>
    </row>
    <row r="9" spans="4:7">
      <c r="D9" s="5" t="s">
        <v>55</v>
      </c>
      <c r="E9" s="5">
        <v>220000</v>
      </c>
      <c r="F9" s="5">
        <f>E9*0.18</f>
        <v>39600</v>
      </c>
      <c r="G9" s="5">
        <f>E9+F9</f>
        <v>259600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4FCB-EA2E-4D74-A13D-5F8E2391E4FF}">
  <dimension ref="C5:H9"/>
  <sheetViews>
    <sheetView workbookViewId="0">
      <selection activeCell="K7" sqref="K7"/>
    </sheetView>
  </sheetViews>
  <sheetFormatPr defaultRowHeight="15"/>
  <cols>
    <col min="2" max="2" width="9.28515625" bestFit="1" customWidth="1"/>
    <col min="5" max="5" width="10.85546875" bestFit="1" customWidth="1"/>
  </cols>
  <sheetData>
    <row r="5" spans="3:8">
      <c r="E5" t="s">
        <v>56</v>
      </c>
    </row>
    <row r="7" spans="3:8">
      <c r="C7" s="8" t="s">
        <v>57</v>
      </c>
      <c r="D7" s="8" t="s">
        <v>58</v>
      </c>
      <c r="E7" s="8" t="s">
        <v>39</v>
      </c>
      <c r="F7" s="8" t="s">
        <v>40</v>
      </c>
      <c r="G7" s="8" t="s">
        <v>27</v>
      </c>
      <c r="H7" s="8" t="s">
        <v>41</v>
      </c>
    </row>
    <row r="8" spans="3:8">
      <c r="C8" s="5" t="s">
        <v>59</v>
      </c>
      <c r="D8" s="5" t="s">
        <v>18</v>
      </c>
      <c r="E8" s="5" t="s">
        <v>33</v>
      </c>
      <c r="F8" s="5">
        <v>2</v>
      </c>
      <c r="G8" s="5">
        <v>60000</v>
      </c>
      <c r="H8" s="5">
        <f>F8*G8</f>
        <v>120000</v>
      </c>
    </row>
    <row r="9" spans="3:8">
      <c r="C9" s="5" t="s">
        <v>60</v>
      </c>
      <c r="D9" s="5" t="s">
        <v>21</v>
      </c>
      <c r="E9" s="5" t="s">
        <v>35</v>
      </c>
      <c r="F9" s="5">
        <v>8</v>
      </c>
      <c r="G9" s="5">
        <v>30000</v>
      </c>
      <c r="H9" s="5">
        <f>F9*G9</f>
        <v>240000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378A-0E05-4D81-995D-C7509723FB28}">
  <dimension ref="C5:F9"/>
  <sheetViews>
    <sheetView workbookViewId="0">
      <selection activeCell="I12" sqref="I12"/>
    </sheetView>
  </sheetViews>
  <sheetFormatPr defaultRowHeight="15"/>
  <cols>
    <col min="3" max="3" width="9.28515625" bestFit="1" customWidth="1"/>
  </cols>
  <sheetData>
    <row r="5" spans="3:6">
      <c r="D5" t="s">
        <v>61</v>
      </c>
    </row>
    <row r="7" spans="3:6">
      <c r="C7" s="8" t="s">
        <v>62</v>
      </c>
      <c r="D7" s="8" t="s">
        <v>52</v>
      </c>
      <c r="E7" s="8" t="s">
        <v>63</v>
      </c>
      <c r="F7" s="8" t="s">
        <v>41</v>
      </c>
    </row>
    <row r="8" spans="3:6">
      <c r="C8" s="5" t="s">
        <v>64</v>
      </c>
      <c r="D8" s="5">
        <v>120000</v>
      </c>
      <c r="E8" s="5">
        <f>D8*0.18</f>
        <v>21600</v>
      </c>
      <c r="F8" s="5">
        <f>D8+E8</f>
        <v>141600</v>
      </c>
    </row>
    <row r="9" spans="3:6">
      <c r="C9" s="5" t="s">
        <v>65</v>
      </c>
      <c r="D9" s="5">
        <v>240000</v>
      </c>
      <c r="E9" s="5">
        <f>D9*0.18</f>
        <v>43200</v>
      </c>
      <c r="F9" s="5">
        <f>D9+E9</f>
        <v>283200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3307-4E37-4869-852F-3AA812F74939}">
  <dimension ref="D5:H9"/>
  <sheetViews>
    <sheetView topLeftCell="A2" workbookViewId="0">
      <selection activeCell="K12" sqref="K12"/>
    </sheetView>
  </sheetViews>
  <sheetFormatPr defaultRowHeight="15"/>
  <cols>
    <col min="1" max="1" width="10.85546875" bestFit="1" customWidth="1"/>
    <col min="2" max="2" width="9.28515625" bestFit="1" customWidth="1"/>
    <col min="5" max="5" width="9.42578125" bestFit="1" customWidth="1"/>
  </cols>
  <sheetData>
    <row r="5" spans="4:8">
      <c r="E5" t="s">
        <v>66</v>
      </c>
    </row>
    <row r="7" spans="4:8">
      <c r="D7" s="8" t="s">
        <v>67</v>
      </c>
      <c r="E7" s="8" t="s">
        <v>68</v>
      </c>
      <c r="F7" s="8" t="s">
        <v>69</v>
      </c>
      <c r="G7" s="8" t="s">
        <v>52</v>
      </c>
      <c r="H7" s="8" t="s">
        <v>70</v>
      </c>
    </row>
    <row r="8" spans="4:8">
      <c r="D8" s="9" t="s">
        <v>71</v>
      </c>
      <c r="E8" s="5" t="s">
        <v>38</v>
      </c>
      <c r="F8" s="5" t="s">
        <v>6</v>
      </c>
      <c r="G8" s="5">
        <v>250000</v>
      </c>
      <c r="H8" s="5" t="s">
        <v>72</v>
      </c>
    </row>
    <row r="9" spans="4:8">
      <c r="D9" s="5" t="s">
        <v>73</v>
      </c>
      <c r="E9" s="5" t="s">
        <v>58</v>
      </c>
      <c r="F9" s="5" t="s">
        <v>18</v>
      </c>
      <c r="G9" s="5">
        <v>141600</v>
      </c>
      <c r="H9" s="5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657-2570-48E0-9328-E3BCD0F82F95}">
  <dimension ref="C4:I16"/>
  <sheetViews>
    <sheetView topLeftCell="A2" workbookViewId="0">
      <selection activeCell="H12" sqref="H12"/>
    </sheetView>
  </sheetViews>
  <sheetFormatPr defaultRowHeight="15"/>
  <cols>
    <col min="1" max="1" width="14.42578125" bestFit="1" customWidth="1"/>
  </cols>
  <sheetData>
    <row r="4" spans="3:9">
      <c r="E4" t="s">
        <v>75</v>
      </c>
    </row>
    <row r="6" spans="3:9">
      <c r="C6" s="4"/>
      <c r="D6" s="6" t="s">
        <v>76</v>
      </c>
      <c r="E6" s="6" t="s">
        <v>77</v>
      </c>
      <c r="F6" s="6" t="s">
        <v>78</v>
      </c>
    </row>
    <row r="7" spans="3:9">
      <c r="C7" s="4"/>
      <c r="D7" s="5" t="s">
        <v>79</v>
      </c>
      <c r="E7" s="5">
        <v>250000</v>
      </c>
      <c r="F7" s="5"/>
    </row>
    <row r="8" spans="3:9">
      <c r="C8" s="4"/>
      <c r="D8" s="5" t="s">
        <v>38</v>
      </c>
      <c r="E8" s="5"/>
      <c r="F8" s="5">
        <v>250000</v>
      </c>
    </row>
    <row r="12" spans="3:9">
      <c r="E12" t="s">
        <v>80</v>
      </c>
    </row>
    <row r="14" spans="3:9">
      <c r="D14" s="6" t="s">
        <v>76</v>
      </c>
      <c r="E14" s="6" t="s">
        <v>77</v>
      </c>
      <c r="F14" s="6" t="s">
        <v>78</v>
      </c>
    </row>
    <row r="15" spans="3:9">
      <c r="D15" s="5" t="s">
        <v>58</v>
      </c>
      <c r="E15" s="5">
        <v>120000</v>
      </c>
      <c r="F15" s="5"/>
      <c r="I15" s="4"/>
    </row>
    <row r="16" spans="3:9">
      <c r="D16" s="5" t="s">
        <v>81</v>
      </c>
      <c r="E16" s="5"/>
      <c r="F16" s="5">
        <v>120000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B4C1-285F-4B8F-858A-78ECE2D1B5EF}">
  <dimension ref="C7:K10"/>
  <sheetViews>
    <sheetView workbookViewId="0">
      <selection activeCell="M14" sqref="M14"/>
    </sheetView>
  </sheetViews>
  <sheetFormatPr defaultRowHeight="15"/>
  <cols>
    <col min="3" max="3" width="11" bestFit="1" customWidth="1"/>
    <col min="5" max="5" width="12.85546875" bestFit="1" customWidth="1"/>
    <col min="7" max="7" width="15.140625" bestFit="1" customWidth="1"/>
    <col min="11" max="11" width="9.85546875" bestFit="1" customWidth="1"/>
  </cols>
  <sheetData>
    <row r="7" spans="3:11">
      <c r="C7" s="3" t="s">
        <v>82</v>
      </c>
      <c r="E7" s="10" t="s">
        <v>83</v>
      </c>
      <c r="G7" s="10" t="s">
        <v>84</v>
      </c>
      <c r="I7" s="11" t="s">
        <v>85</v>
      </c>
      <c r="K7" s="11" t="s">
        <v>86</v>
      </c>
    </row>
    <row r="10" spans="3:11">
      <c r="C10" s="11" t="s">
        <v>87</v>
      </c>
      <c r="E10" s="11" t="s">
        <v>88</v>
      </c>
      <c r="G10" s="10" t="s">
        <v>89</v>
      </c>
      <c r="I10" s="11" t="s">
        <v>90</v>
      </c>
      <c r="K10" s="11" t="s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2026-04-18T05:02:27Z</dcterms:created>
  <dcterms:modified xsi:type="dcterms:W3CDTF">2026-04-21T03:26:52Z</dcterms:modified>
  <cp:category/>
  <cp:contentStatus/>
</cp:coreProperties>
</file>